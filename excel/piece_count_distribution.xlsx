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nfalcone\PycharmProjects\TinyMLInternship\excel\"/>
    </mc:Choice>
  </mc:AlternateContent>
  <xr:revisionPtr revIDLastSave="0" documentId="13_ncr:1_{0BEF3C04-03E1-4DEE-9CCA-6EE5EF08440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C20" i="1" s="1"/>
  <c r="D20" i="1" s="1"/>
  <c r="C9" i="1" l="1"/>
  <c r="D9" i="1" s="1"/>
  <c r="C12" i="1"/>
  <c r="D12" i="1" s="1"/>
  <c r="C24" i="1"/>
  <c r="D24" i="1" s="1"/>
  <c r="C3" i="1"/>
  <c r="D3" i="1" s="1"/>
  <c r="C23" i="1"/>
  <c r="D23" i="1" s="1"/>
  <c r="C29" i="1"/>
  <c r="D29" i="1" s="1"/>
  <c r="C21" i="1"/>
  <c r="D21" i="1" s="1"/>
  <c r="C22" i="1"/>
  <c r="D22" i="1" s="1"/>
  <c r="C4" i="1"/>
  <c r="D4" i="1" s="1"/>
  <c r="C18" i="1"/>
  <c r="D18" i="1" s="1"/>
  <c r="C19" i="1"/>
  <c r="D19" i="1" s="1"/>
  <c r="C5" i="1"/>
  <c r="D5" i="1" s="1"/>
  <c r="C25" i="1"/>
  <c r="D25" i="1" s="1"/>
  <c r="C7" i="1"/>
  <c r="D7" i="1" s="1"/>
  <c r="C8" i="1"/>
  <c r="D8" i="1" s="1"/>
  <c r="C28" i="1"/>
  <c r="D28" i="1" s="1"/>
  <c r="C6" i="1"/>
  <c r="D6" i="1" s="1"/>
  <c r="C26" i="1"/>
  <c r="D26" i="1" s="1"/>
  <c r="C27" i="1"/>
  <c r="D27" i="1" s="1"/>
  <c r="C10" i="1"/>
  <c r="D10" i="1" s="1"/>
  <c r="C30" i="1"/>
  <c r="D30" i="1" s="1"/>
  <c r="C2" i="1"/>
  <c r="D2" i="1" s="1"/>
  <c r="C15" i="1"/>
  <c r="D15" i="1" s="1"/>
  <c r="C11" i="1"/>
  <c r="D11" i="1" s="1"/>
  <c r="C31" i="1"/>
  <c r="D31" i="1" s="1"/>
  <c r="C13" i="1"/>
  <c r="D13" i="1" s="1"/>
  <c r="C14" i="1"/>
  <c r="D14" i="1" s="1"/>
  <c r="C32" i="1"/>
  <c r="D32" i="1" s="1"/>
  <c r="C16" i="1"/>
  <c r="D16" i="1" s="1"/>
  <c r="C17" i="1"/>
  <c r="D17" i="1" s="1"/>
</calcChain>
</file>

<file path=xl/sharedStrings.xml><?xml version="1.0" encoding="utf-8"?>
<sst xmlns="http://schemas.openxmlformats.org/spreadsheetml/2006/main" count="3" uniqueCount="3">
  <si>
    <t>piece_count</t>
  </si>
  <si>
    <t>position_count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</si>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</sst>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Piece 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piece_count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Sheet1!$A$2:$A$32</c:f>
              <c:numCache>
                <c:formatCode>General</c:formatCode>
                <c:ptCount val="3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A-417F-9A44-D5A49D32FC07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position_count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Sheet1!$B$2:$B$32</c:f>
              <c:numCache>
                <c:formatCode>General</c:formatCode>
                <c:ptCount val="31"/>
                <c:pt idx="0">
                  <c:v>46</c:v>
                </c:pt>
                <c:pt idx="1">
                  <c:v>2116</c:v>
                </c:pt>
                <c:pt idx="2">
                  <c:v>3763</c:v>
                </c:pt>
                <c:pt idx="3">
                  <c:v>4184</c:v>
                </c:pt>
                <c:pt idx="4">
                  <c:v>5037</c:v>
                </c:pt>
                <c:pt idx="5">
                  <c:v>6295</c:v>
                </c:pt>
                <c:pt idx="6">
                  <c:v>7940</c:v>
                </c:pt>
                <c:pt idx="7">
                  <c:v>8653</c:v>
                </c:pt>
                <c:pt idx="8">
                  <c:v>9228</c:v>
                </c:pt>
                <c:pt idx="9">
                  <c:v>10617</c:v>
                </c:pt>
                <c:pt idx="10">
                  <c:v>11482</c:v>
                </c:pt>
                <c:pt idx="11">
                  <c:v>12428</c:v>
                </c:pt>
                <c:pt idx="12">
                  <c:v>13472</c:v>
                </c:pt>
                <c:pt idx="13">
                  <c:v>14009</c:v>
                </c:pt>
                <c:pt idx="14">
                  <c:v>15409</c:v>
                </c:pt>
                <c:pt idx="15">
                  <c:v>16242</c:v>
                </c:pt>
                <c:pt idx="16">
                  <c:v>17373</c:v>
                </c:pt>
                <c:pt idx="17">
                  <c:v>17900</c:v>
                </c:pt>
                <c:pt idx="18">
                  <c:v>19620</c:v>
                </c:pt>
                <c:pt idx="19">
                  <c:v>20214</c:v>
                </c:pt>
                <c:pt idx="20">
                  <c:v>22566</c:v>
                </c:pt>
                <c:pt idx="21">
                  <c:v>21235</c:v>
                </c:pt>
                <c:pt idx="22">
                  <c:v>26420</c:v>
                </c:pt>
                <c:pt idx="23">
                  <c:v>23039</c:v>
                </c:pt>
                <c:pt idx="24">
                  <c:v>29943</c:v>
                </c:pt>
                <c:pt idx="25">
                  <c:v>22737</c:v>
                </c:pt>
                <c:pt idx="26">
                  <c:v>37152</c:v>
                </c:pt>
                <c:pt idx="27">
                  <c:v>20759</c:v>
                </c:pt>
                <c:pt idx="28">
                  <c:v>51492</c:v>
                </c:pt>
                <c:pt idx="29">
                  <c:v>18368</c:v>
                </c:pt>
                <c:pt idx="30">
                  <c:v>109645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1A-417F-9A44-D5A49D32F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678111"/>
        <c:axId val="1317680511"/>
      </c:barChart>
      <c:catAx>
        <c:axId val="1317678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680511"/>
        <c:crosses val="autoZero"/>
        <c:auto val="1"/>
        <c:lblAlgn val="ctr"/>
        <c:lblOffset val="100"/>
        <c:noMultiLvlLbl val="0"/>
      </c:catAx>
      <c:valAx>
        <c:axId val="131768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67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7</xdr:row>
      <xdr:rowOff>9524</xdr:rowOff>
    </xdr:from>
    <xdr:to>
      <xdr:col>13</xdr:col>
      <xdr:colOff>400050</xdr:colOff>
      <xdr:row>27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6F7B17-EC6B-961A-BB81-BB30EE31E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B32" sqref="B32"/>
    </sheetView>
  </sheetViews>
  <sheetFormatPr defaultRowHeight="14.25" x14ac:dyDescent="0.45"/>
  <cols>
    <col min="1" max="16384" width="9.06640625" style="1"/>
  </cols>
  <sheetData>
    <row r="1" spans="1:6" ht="14.65" thickBot="1" x14ac:dyDescent="0.5">
      <c r="A1" s="1" t="s">
        <v>0</v>
      </c>
      <c r="B1" s="1" t="s">
        <v>1</v>
      </c>
    </row>
    <row r="2" spans="1:6" x14ac:dyDescent="0.45">
      <c r="A2" s="1">
        <v>2</v>
      </c>
      <c r="B2" s="1">
        <v>46</v>
      </c>
      <c r="C2" s="2">
        <f>SUM($B$2:B2)/$B$33</f>
        <v>7.674545867090212E-5</v>
      </c>
      <c r="D2" s="3">
        <f>INT(C2*($F$3-0.001))</f>
        <v>0</v>
      </c>
      <c r="F2" s="4" t="s">
        <v>2</v>
      </c>
    </row>
    <row r="3" spans="1:6" ht="14.65" thickBot="1" x14ac:dyDescent="0.5">
      <c r="A3" s="1">
        <v>3</v>
      </c>
      <c r="B3" s="1">
        <v>2116</v>
      </c>
      <c r="C3" s="2">
        <f>SUM($B$2:B3)/$B$33</f>
        <v>3.6070365575324001E-3</v>
      </c>
      <c r="D3" s="3">
        <f t="shared" ref="D3:D32" si="0">INT(C3*($F$3-0.001))</f>
        <v>0</v>
      </c>
      <c r="F3" s="5">
        <v>8</v>
      </c>
    </row>
    <row r="4" spans="1:6" x14ac:dyDescent="0.45">
      <c r="A4" s="1">
        <v>4</v>
      </c>
      <c r="B4" s="1">
        <v>3763</v>
      </c>
      <c r="C4" s="2">
        <f>SUM($B$2:B4)/$B$33</f>
        <v>9.8851487527194578E-3</v>
      </c>
      <c r="D4" s="3">
        <f t="shared" si="0"/>
        <v>0</v>
      </c>
    </row>
    <row r="5" spans="1:6" x14ac:dyDescent="0.45">
      <c r="A5" s="1">
        <v>5</v>
      </c>
      <c r="B5" s="1">
        <v>4184</v>
      </c>
      <c r="C5" s="2">
        <f>SUM($B$2:B5)/$B$33</f>
        <v>1.6865648732698905E-2</v>
      </c>
      <c r="D5" s="3">
        <f t="shared" si="0"/>
        <v>0</v>
      </c>
    </row>
    <row r="6" spans="1:6" x14ac:dyDescent="0.45">
      <c r="A6" s="1">
        <v>6</v>
      </c>
      <c r="B6" s="1">
        <v>5037</v>
      </c>
      <c r="C6" s="2">
        <f>SUM($B$2:B6)/$B$33</f>
        <v>2.5269276457162686E-2</v>
      </c>
      <c r="D6" s="3">
        <f t="shared" si="0"/>
        <v>0</v>
      </c>
    </row>
    <row r="7" spans="1:6" x14ac:dyDescent="0.45">
      <c r="A7" s="1">
        <v>7</v>
      </c>
      <c r="B7" s="1">
        <v>6295</v>
      </c>
      <c r="C7" s="2">
        <f>SUM($B$2:B7)/$B$33</f>
        <v>3.5771725638322011E-2</v>
      </c>
      <c r="D7" s="3">
        <f t="shared" si="0"/>
        <v>0</v>
      </c>
    </row>
    <row r="8" spans="1:6" x14ac:dyDescent="0.45">
      <c r="A8" s="1">
        <v>8</v>
      </c>
      <c r="B8" s="1">
        <v>7940</v>
      </c>
      <c r="C8" s="2">
        <f>SUM($B$2:B8)/$B$33</f>
        <v>4.901865915673425E-2</v>
      </c>
      <c r="D8" s="3">
        <f t="shared" si="0"/>
        <v>0</v>
      </c>
    </row>
    <row r="9" spans="1:6" x14ac:dyDescent="0.45">
      <c r="A9" s="1">
        <v>9</v>
      </c>
      <c r="B9" s="1">
        <v>8653</v>
      </c>
      <c r="C9" s="2">
        <f>SUM($B$2:B9)/$B$33</f>
        <v>6.345514728454546E-2</v>
      </c>
      <c r="D9" s="3">
        <f t="shared" si="0"/>
        <v>0</v>
      </c>
    </row>
    <row r="10" spans="1:6" x14ac:dyDescent="0.45">
      <c r="A10" s="1">
        <v>10</v>
      </c>
      <c r="B10" s="1">
        <v>9228</v>
      </c>
      <c r="C10" s="2">
        <f>SUM($B$2:B10)/$B$33</f>
        <v>7.8850953645742961E-2</v>
      </c>
      <c r="D10" s="3">
        <f t="shared" si="0"/>
        <v>0</v>
      </c>
    </row>
    <row r="11" spans="1:6" x14ac:dyDescent="0.45">
      <c r="A11" s="1">
        <v>11</v>
      </c>
      <c r="B11" s="1">
        <v>10617</v>
      </c>
      <c r="C11" s="2">
        <f>SUM($B$2:B11)/$B$33</f>
        <v>9.6564139182894443E-2</v>
      </c>
      <c r="D11" s="3">
        <f t="shared" si="0"/>
        <v>0</v>
      </c>
    </row>
    <row r="12" spans="1:6" x14ac:dyDescent="0.45">
      <c r="A12" s="1">
        <v>12</v>
      </c>
      <c r="B12" s="1">
        <v>11482</v>
      </c>
      <c r="C12" s="2">
        <f>SUM($B$2:B12)/$B$33</f>
        <v>0.11572047301896614</v>
      </c>
      <c r="D12" s="3">
        <f t="shared" si="0"/>
        <v>0</v>
      </c>
    </row>
    <row r="13" spans="1:6" x14ac:dyDescent="0.45">
      <c r="A13" s="1">
        <v>13</v>
      </c>
      <c r="B13" s="1">
        <v>12428</v>
      </c>
      <c r="C13" s="2">
        <f>SUM($B$2:B13)/$B$33</f>
        <v>0.13645509389640031</v>
      </c>
      <c r="D13" s="3">
        <f t="shared" si="0"/>
        <v>1</v>
      </c>
    </row>
    <row r="14" spans="1:6" x14ac:dyDescent="0.45">
      <c r="A14" s="1">
        <v>14</v>
      </c>
      <c r="B14" s="1">
        <v>13472</v>
      </c>
      <c r="C14" s="2">
        <f>SUM($B$2:B14)/$B$33</f>
        <v>0.1589315030097567</v>
      </c>
      <c r="D14" s="3">
        <f t="shared" si="0"/>
        <v>1</v>
      </c>
    </row>
    <row r="15" spans="1:6" x14ac:dyDescent="0.45">
      <c r="A15" s="1">
        <v>15</v>
      </c>
      <c r="B15" s="1">
        <v>14009</v>
      </c>
      <c r="C15" s="2">
        <f>SUM($B$2:B15)/$B$33</f>
        <v>0.18230383193411903</v>
      </c>
      <c r="D15" s="3">
        <f t="shared" si="0"/>
        <v>1</v>
      </c>
    </row>
    <row r="16" spans="1:6" x14ac:dyDescent="0.45">
      <c r="A16" s="1">
        <v>16</v>
      </c>
      <c r="B16" s="1">
        <v>15409</v>
      </c>
      <c r="C16" s="2">
        <f>SUM($B$2:B16)/$B$33</f>
        <v>0.20801189220933491</v>
      </c>
      <c r="D16" s="3">
        <f t="shared" si="0"/>
        <v>1</v>
      </c>
    </row>
    <row r="17" spans="1:4" x14ac:dyDescent="0.45">
      <c r="A17" s="1">
        <v>17</v>
      </c>
      <c r="B17" s="1">
        <v>16242</v>
      </c>
      <c r="C17" s="2">
        <f>SUM($B$2:B17)/$B$33</f>
        <v>0.23510971263830865</v>
      </c>
      <c r="D17" s="3">
        <f t="shared" si="0"/>
        <v>1</v>
      </c>
    </row>
    <row r="18" spans="1:4" x14ac:dyDescent="0.45">
      <c r="A18" s="1">
        <v>18</v>
      </c>
      <c r="B18" s="1">
        <v>17373</v>
      </c>
      <c r="C18" s="2">
        <f>SUM($B$2:B18)/$B$33</f>
        <v>0.26409447032286482</v>
      </c>
      <c r="D18" s="3">
        <f t="shared" si="0"/>
        <v>2</v>
      </c>
    </row>
    <row r="19" spans="1:4" x14ac:dyDescent="0.45">
      <c r="A19" s="1">
        <v>19</v>
      </c>
      <c r="B19" s="1">
        <v>17900</v>
      </c>
      <c r="C19" s="2">
        <f>SUM($B$2:B19)/$B$33</f>
        <v>0.29395846402306369</v>
      </c>
      <c r="D19" s="3">
        <f t="shared" si="0"/>
        <v>2</v>
      </c>
    </row>
    <row r="20" spans="1:4" x14ac:dyDescent="0.45">
      <c r="A20" s="1">
        <v>20</v>
      </c>
      <c r="B20" s="1">
        <v>19620</v>
      </c>
      <c r="C20" s="2">
        <f>SUM($B$2:B20)/$B$33</f>
        <v>0.32669207052573979</v>
      </c>
      <c r="D20" s="3">
        <f t="shared" si="0"/>
        <v>2</v>
      </c>
    </row>
    <row r="21" spans="1:4" x14ac:dyDescent="0.45">
      <c r="A21" s="1">
        <v>21</v>
      </c>
      <c r="B21" s="1">
        <v>20214</v>
      </c>
      <c r="C21" s="2">
        <f>SUM($B$2:B21)/$B$33</f>
        <v>0.36041669447299229</v>
      </c>
      <c r="D21" s="3">
        <f t="shared" si="0"/>
        <v>2</v>
      </c>
    </row>
    <row r="22" spans="1:4" x14ac:dyDescent="0.45">
      <c r="A22" s="1">
        <v>22</v>
      </c>
      <c r="B22" s="1">
        <v>22566</v>
      </c>
      <c r="C22" s="2">
        <f>SUM($B$2:B22)/$B$33</f>
        <v>0.39806534708967872</v>
      </c>
      <c r="D22" s="3">
        <f t="shared" si="0"/>
        <v>3</v>
      </c>
    </row>
    <row r="23" spans="1:4" x14ac:dyDescent="0.45">
      <c r="A23" s="1">
        <v>23</v>
      </c>
      <c r="B23" s="1">
        <v>21235</v>
      </c>
      <c r="C23" s="2">
        <f>SUM($B$2:B23)/$B$33</f>
        <v>0.43349338654351799</v>
      </c>
      <c r="D23" s="3">
        <f t="shared" si="0"/>
        <v>3</v>
      </c>
    </row>
    <row r="24" spans="1:4" x14ac:dyDescent="0.45">
      <c r="A24" s="1">
        <v>24</v>
      </c>
      <c r="B24" s="1">
        <v>26420</v>
      </c>
      <c r="C24" s="2">
        <f>SUM($B$2:B24)/$B$33</f>
        <v>0.477571973893197</v>
      </c>
      <c r="D24" s="3">
        <f t="shared" si="0"/>
        <v>3</v>
      </c>
    </row>
    <row r="25" spans="1:4" x14ac:dyDescent="0.45">
      <c r="A25" s="1">
        <v>25</v>
      </c>
      <c r="B25" s="1">
        <v>23039</v>
      </c>
      <c r="C25" s="2">
        <f>SUM($B$2:B25)/$B$33</f>
        <v>0.5160097700305647</v>
      </c>
      <c r="D25" s="3">
        <f t="shared" si="0"/>
        <v>4</v>
      </c>
    </row>
    <row r="26" spans="1:4" x14ac:dyDescent="0.45">
      <c r="A26" s="1">
        <v>26</v>
      </c>
      <c r="B26" s="1">
        <v>29943</v>
      </c>
      <c r="C26" s="2">
        <f>SUM($B$2:B26)/$B$33</f>
        <v>0.565966058486713</v>
      </c>
      <c r="D26" s="3">
        <f t="shared" si="0"/>
        <v>4</v>
      </c>
    </row>
    <row r="27" spans="1:4" x14ac:dyDescent="0.45">
      <c r="A27" s="1">
        <v>27</v>
      </c>
      <c r="B27" s="1">
        <v>22737</v>
      </c>
      <c r="C27" s="2">
        <f>SUM($B$2:B27)/$B$33</f>
        <v>0.60390000400411092</v>
      </c>
      <c r="D27" s="3">
        <f t="shared" si="0"/>
        <v>4</v>
      </c>
    </row>
    <row r="28" spans="1:4" x14ac:dyDescent="0.45">
      <c r="A28" s="1">
        <v>28</v>
      </c>
      <c r="B28" s="1">
        <v>37152</v>
      </c>
      <c r="C28" s="2">
        <f>SUM($B$2:B28)/$B$33</f>
        <v>0.66588364053761862</v>
      </c>
      <c r="D28" s="3">
        <f t="shared" si="0"/>
        <v>5</v>
      </c>
    </row>
    <row r="29" spans="1:4" x14ac:dyDescent="0.45">
      <c r="A29" s="1">
        <v>29</v>
      </c>
      <c r="B29" s="1">
        <v>20759</v>
      </c>
      <c r="C29" s="2">
        <f>SUM($B$2:B29)/$B$33</f>
        <v>0.70051753133216765</v>
      </c>
      <c r="D29" s="3">
        <f t="shared" si="0"/>
        <v>5</v>
      </c>
    </row>
    <row r="30" spans="1:4" x14ac:dyDescent="0.45">
      <c r="A30" s="1">
        <v>30</v>
      </c>
      <c r="B30" s="1">
        <v>51492</v>
      </c>
      <c r="C30" s="2">
        <f>SUM($B$2:B30)/$B$33</f>
        <v>0.78642573041656105</v>
      </c>
      <c r="D30" s="3">
        <f t="shared" si="0"/>
        <v>6</v>
      </c>
    </row>
    <row r="31" spans="1:4" x14ac:dyDescent="0.45">
      <c r="A31" s="1">
        <v>31</v>
      </c>
      <c r="B31" s="1">
        <v>18368</v>
      </c>
      <c r="C31" s="2">
        <f>SUM($B$2:B31)/$B$33</f>
        <v>0.81707052573975947</v>
      </c>
      <c r="D31" s="3">
        <f t="shared" si="0"/>
        <v>6</v>
      </c>
    </row>
    <row r="32" spans="1:4" x14ac:dyDescent="0.45">
      <c r="A32" s="1">
        <v>32</v>
      </c>
      <c r="B32" s="1">
        <v>109645</v>
      </c>
      <c r="C32" s="2">
        <f>SUM($B$2:B32)/$B$33</f>
        <v>1</v>
      </c>
      <c r="D32" s="3">
        <f t="shared" si="0"/>
        <v>7</v>
      </c>
    </row>
    <row r="33" spans="2:2" x14ac:dyDescent="0.45">
      <c r="B33" s="1">
        <f>SUM(B2:B32)</f>
        <v>599384</v>
      </c>
    </row>
  </sheetData>
  <conditionalFormatting sqref="D2:D32">
    <cfRule type="colorScale" priority="1">
      <colorScale>
        <cfvo type="min"/>
        <cfvo type="max"/>
        <color rgb="FF63BE7B"/>
        <color rgb="FFFFEF9C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Cusma Fait</cp:lastModifiedBy>
  <dcterms:created xsi:type="dcterms:W3CDTF">2026-06-30T09:07:28Z</dcterms:created>
  <dcterms:modified xsi:type="dcterms:W3CDTF">2026-06-30T14:23:19Z</dcterms:modified>
</cp:coreProperties>
</file>